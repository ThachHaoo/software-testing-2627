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Checklist" sheetId="2" state="visible" r:id="rId4"/>
    <sheet name="Test Summary Report" sheetId="3" state="visible" r:id="rId5"/>
  </sheets>
  <definedNames>
    <definedName function="false" hidden="true" localSheetId="0" name="_xlnm._FilterDatabase" vbProcedure="false">'Test Cases'!$A$4:$N$19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<sst xmlns="http://schemas.openxmlformats.org/spreadsheetml/2006/main" count="340" uniqueCount="226">
  <si>
    <t xml:space="preserve">HW01 – Test Cases: Quạt điện Kakashi B300</t>
  </si>
  <si>
    <t xml:space="preserve">Người thực hiện: Lê Tấn Hiệp (23120255) · Nguồn TC: AI = Claude sinh (Prompt #4, đã review); Tự viết = SV tự thiết kế · Ô nền vàng: cập nhật khi chạy lại (incremental)</t>
  </si>
  <si>
    <t xml:space="preserve">TC ID</t>
  </si>
  <si>
    <t xml:space="preserve">HW</t>
  </si>
  <si>
    <t xml:space="preserve">Objective</t>
  </si>
  <si>
    <t xml:space="preserve">Kỹ thuật</t>
  </si>
  <si>
    <t xml:space="preserve">Chức năng</t>
  </si>
  <si>
    <t xml:space="preserve">Precondition</t>
  </si>
  <si>
    <t xml:space="preserve">Input / Test data</t>
  </si>
  <si>
    <t xml:space="preserve">Steps</t>
  </si>
  <si>
    <t xml:space="preserve">Expected</t>
  </si>
  <si>
    <t xml:space="preserve">Actual</t>
  </si>
  <si>
    <t xml:space="preserve">Verdict</t>
  </si>
  <si>
    <t xml:space="preserve">Nguồn</t>
  </si>
  <si>
    <t xml:space="preserve">Ngày chạy</t>
  </si>
  <si>
    <t xml:space="preserve">Video</t>
  </si>
  <si>
    <t xml:space="preserve">TC01</t>
  </si>
  <si>
    <t xml:space="preserve">HW01</t>
  </si>
  <si>
    <t xml:space="preserve">Bật quạt ở số 1 từ trạng thái tắt</t>
  </si>
  <si>
    <t xml:space="preserve">EP (lớp tốc độ 1)</t>
  </si>
  <si>
    <t xml:space="preserve">F1</t>
  </si>
  <si>
    <t xml:space="preserve">Quạt đặt trên mặt bàn phẳng, khô, đã cắm điện 220V. Phím ở 0, xoay tắt, đầu quạt hướng thẳng. Phòng không bật quạt/điều hòa khác.</t>
  </si>
  <si>
    <t xml:space="preserve">Phím 1</t>
  </si>
  <si>
    <t xml:space="preserve">1. Nhấn phím 1
2. Quan sát cánh trong 10 s</t>
  </si>
  <si>
    <t xml:space="preserve">Phím 1 giữ ở trạng thái nhấn. Cánh bắt đầu quay trong &lt;= 3 s và đạt tốc độ ổn định. Không có tiếng lạ.</t>
  </si>
  <si>
    <t xml:space="preserve">Phím 1 giữ ở trạng thái nhấn. Cánh bắt đầu quay trong &lt;= 2.6s và đạt tốc độ ổn định. Không có tiếng lạ.</t>
  </si>
  <si>
    <t xml:space="preserve">Pass</t>
  </si>
  <si>
    <t xml:space="preserve">AI</t>
  </si>
  <si>
    <t xml:space="preserve">29/09/2026</t>
  </si>
  <si>
    <t xml:space="preserve">https://youtube.com/shorts/hYVlc8Ss0AA</t>
  </si>
  <si>
    <t xml:space="preserve">TC02</t>
  </si>
  <si>
    <t xml:space="preserve">Bật quạt ở số 3 từ trạng thái tắt</t>
  </si>
  <si>
    <t xml:space="preserve">EP (lớp tốc độ 3)</t>
  </si>
  <si>
    <t xml:space="preserve">Phím 3</t>
  </si>
  <si>
    <t xml:space="preserve">1. Nhấn phím 3
2. Quan sát 10 s</t>
  </si>
  <si>
    <t xml:space="preserve">Phím 3 giữ. Cánh quay mạnh nhất. Quạt không rung lắc bất thường.</t>
  </si>
  <si>
    <t xml:space="preserve">TC03</t>
  </si>
  <si>
    <t xml:space="preserve">Tắt quạt bằng phím 0 khi đang chạy tối đa</t>
  </si>
  <si>
    <t xml:space="preserve">State transition (3 → 0)</t>
  </si>
  <si>
    <t xml:space="preserve">Quạt đang ở số 3 &gt;= 30 s</t>
  </si>
  <si>
    <t xml:space="preserve">Phím 0</t>
  </si>
  <si>
    <t xml:space="preserve">1. Nhấn phím 0
2. Bấm giờ từ lúc nhấn đến khi cánh dừng hẳn</t>
  </si>
  <si>
    <t xml:space="preserve">Phím 3 bật lên. Motor ngắt điện ngay. Cánh quay chậm dần rồi dừng hoàn toàn, không quay ngược, không có tiếng va chạm. Ghi lại thời gian dừng (s).</t>
  </si>
  <si>
    <t xml:space="preserve">Phím 3 bật lên. Motor ngắt điện ngay. Cánh quay chậm dần rồi dừng hoàn toàn, không quay ngược, không có tiếng va chạm. Dừng hẳn sau 6s</t>
  </si>
  <si>
    <t xml:space="preserve">TC04</t>
  </si>
  <si>
    <t xml:space="preserve">Tốc độ tăng dần đúng thứ tự 1 &lt; 2 &lt; 3</t>
  </si>
  <si>
    <t xml:space="preserve">State transition (1 → 2 → 3)</t>
  </si>
  <si>
    <t xml:space="preserve">Quạt đặt trên mặt bàn phẳng, khô, đã cắm điện 220V. Phím ở 0, xoay tắt, đầu quạt hướng thẳng. Phòng không bật quạt/điều hòa khác. App đo dB sẵn sàng.</t>
  </si>
  <si>
    <t xml:space="preserve">Phím 1, 2, 3 (mỗi mức giữ 15 s)</t>
  </si>
  <si>
    <t xml:space="preserve">1. Nhấn 1, chờ 15 s, ghi dB và góc lệch dải giấy
2. Nhấn 2, lặp lại
3. Nhấn 3, lặp lại</t>
  </si>
  <si>
    <t xml:space="preserve">Cả dB và góc lệch dải giấy tăng dần theo thứ tự số 1 &lt; số 2 &lt; số 3. Mỗi lần chuyển số, chỉ phím mới được giữ.</t>
  </si>
  <si>
    <t xml:space="preserve">Dải trống trông càng cố bay cao hơn với mỗi số tăng, dB tăng lần lượt theo: 90dB &lt; 92dB &lt; 95dB</t>
  </si>
  <si>
    <t xml:space="preserve">TC05</t>
  </si>
  <si>
    <t xml:space="preserve">Chuyển trực tiếp từ số 3 xuống số 1</t>
  </si>
  <si>
    <t xml:space="preserve">State transition (3 → 1)</t>
  </si>
  <si>
    <t xml:space="preserve">Quạt ở số 3 &gt;= 15 s</t>
  </si>
  <si>
    <t xml:space="preserve">1. Nhấn phím 1
2. Quan sát 15 s</t>
  </si>
  <si>
    <t xml:space="preserve">Phím 3 bật lên, phím 1 giữ. Cánh giảm tốc về mức số 1 (bằng TC01), không dừng hẳn giữa chừng.</t>
  </si>
  <si>
    <t xml:space="preserve">Phím 3 bật lên, phím 1 giữ. Cánh giảm tốc về mức số 1 chứ không dừng hẳn giữa chừng.</t>
  </si>
  <si>
    <t xml:space="preserve">TC06</t>
  </si>
  <si>
    <t xml:space="preserve">Bật chế độ xoay khi quạt đang chạy</t>
  </si>
  <si>
    <t xml:space="preserve">Decision table (tốc độ = 1, xoay = Bật)</t>
  </si>
  <si>
    <t xml:space="preserve">F2</t>
  </si>
  <si>
    <t xml:space="preserve">Quạt ở số 1, xoay tắt, đã dán mốc biên</t>
  </si>
  <si>
    <t xml:space="preserve">Núm xoay: bật</t>
  </si>
  <si>
    <t xml:space="preserve">1. Bật núm xoay
2. Bấm giờ 3 chu kỳ liên tiếp
3. Quan sát 2 biên</t>
  </si>
  <si>
    <t xml:space="preserve">Đầu quạt xoay qua lại đều giữa 2 biên. Thời gian các chu kỳ gần bằng nhau (chênh &lt;= 10%). Không giật, không kẹt tại biên.</t>
  </si>
  <si>
    <t xml:space="preserve">Đầu quạt xoay qua lại đều giữa 2 biên. Thời gian các chu kỳ gần bằng nhau (đều khoảng 10s). Không giật, không kẹt tại biên.</t>
  </si>
  <si>
    <t xml:space="preserve">TC07</t>
  </si>
  <si>
    <t xml:space="preserve">Tắt xoay giữa hành trình</t>
  </si>
  <si>
    <t xml:space="preserve">State transition (Xoay → Dừng xoay)</t>
  </si>
  <si>
    <t xml:space="preserve">Quạt số 2, đang xoay, đầu quạt ở khoảng giữa 2 biên</t>
  </si>
  <si>
    <t xml:space="preserve">Núm xoay: tắt</t>
  </si>
  <si>
    <t xml:space="preserve">1. Tắt núm xoay khi đầu quạt ở giữa hành trình
2. Quan sát 10 s</t>
  </si>
  <si>
    <t xml:space="preserve">Đầu quạt dừng tại vị trí hiện tại (hoặc chỉ trôi rất ít), cánh vẫn quay số 2 bình thường.</t>
  </si>
  <si>
    <t xml:space="preserve">Đầu quạt dừng ngay tại vị trí hiện tại, cánh vẫn quay số 2 bình thường.</t>
  </si>
  <si>
    <t xml:space="preserve">TC08</t>
  </si>
  <si>
    <t xml:space="preserve">Bật núm xoay khi quạt đang tắt</t>
  </si>
  <si>
    <t xml:space="preserve">Decision table (tốc độ = 0, xoay = Bật)</t>
  </si>
  <si>
    <t xml:space="preserve">F3</t>
  </si>
  <si>
    <t xml:space="preserve">Núm xoay: bật; phím 0</t>
  </si>
  <si>
    <t xml:space="preserve">1. Bật núm xoay
2. Quan sát 10 s
3. Nhấn phím 1 và quan sát tiếp</t>
  </si>
  <si>
    <t xml:space="preserve">Bước 2: đầu quạt không xoay, cánh không quay. Bước 3: cánh quay và đầu quạt bắt đầu xoay (theo F3).</t>
  </si>
  <si>
    <t xml:space="preserve">Sau khi bật núm xoay và quan sát, thì cánh và đầu quạt không quay, sau khi nhấn phím 1 và quan sát thì cánh quay và đầu quạt bắt đầu xoay</t>
  </si>
  <si>
    <t xml:space="preserve">https://youtube.com/shorts/oNhAVh2MhJg</t>
  </si>
  <si>
    <t xml:space="preserve">TC09</t>
  </si>
  <si>
    <t xml:space="preserve">Mất điện khi đang chạy và có điện trở lại</t>
  </si>
  <si>
    <t xml:space="preserve">Error guessing / State transition</t>
  </si>
  <si>
    <t xml:space="preserve">F1, F4</t>
  </si>
  <si>
    <t xml:space="preserve">Quạt số 2, xoay bật</t>
  </si>
  <si>
    <t xml:space="preserve">Rút phích cắm, chờ 10 s, cắm lại</t>
  </si>
  <si>
    <t xml:space="preserve">1. Rút phích
2. Chờ cánh dừng hẳn
3. Cắm lại phích</t>
  </si>
  <si>
    <t xml:space="preserve">Bước 2: quạt dừng. Bước 3: vì phím cơ vẫn giữ số 2, quạt tự chạy lại ở số 2 và vẫn xoay ngay khi có điện.</t>
  </si>
  <si>
    <t xml:space="preserve">Lúc rút ra thì cánh quạt bắt đầu dừng, rồi dừng hẳn sau đó, khi cắm lại thì quạt bắt đầu chạy lại ngay khi cắm</t>
  </si>
  <si>
    <t xml:space="preserve">TC10</t>
  </si>
  <si>
    <t xml:space="preserve">Nhấn lại phím đang được chọn / nhấn 0 khi đã tắt</t>
  </si>
  <si>
    <t xml:space="preserve">EP (thao tác thừa)</t>
  </si>
  <si>
    <t xml:space="preserve">a) Quạt ở số 2; b) Quạt đang tắt</t>
  </si>
  <si>
    <t xml:space="preserve">a) Phím 2; b) Phím 0</t>
  </si>
  <si>
    <t xml:space="preserve">1. (a) Nhấn lại phím 2, quan sát 5 s
2. (b) Chuyển về trạng thái tắt, nhấn lại phím 0, quan sát 5 s</t>
  </si>
  <si>
    <t xml:space="preserve">(a) Quạt tiếp tục chạy số 2, không bị tắt hay đổi số. (b) Quạt vẫn tắt, không có phím nào bị kẹt.</t>
  </si>
  <si>
    <t xml:space="preserve">(a) Quạt vẫn chạy số 2, không bị tắt hay đổi số (b) Quạt vẫn giữ trạng thái tắt</t>
  </si>
  <si>
    <t xml:space="preserve">TC11</t>
  </si>
  <si>
    <t xml:space="preserve">Ấn phím số 1 và phím số 2 cùng lúc rồi thả ra cùng lúc</t>
  </si>
  <si>
    <t xml:space="preserve">Error guessing + EP (input không hợp lệ: nhiều phím)</t>
  </si>
  <si>
    <t xml:space="preserve">Phím 1 và phím 2</t>
  </si>
  <si>
    <t xml:space="preserve">1. Nhấn phím 1 và phím 2 (dưới 0.5s) rồi thả ra
2. Quan sát 10 s</t>
  </si>
  <si>
    <t xml:space="preserve">Quạt quay nhẹ, sau khi thả ra thì quạt dừng lại, các phím đều về trạng thái ban đầu</t>
  </si>
  <si>
    <t xml:space="preserve">Ngay lúc ấn thì quạt quay nhẹ, sau khi thả ra thì quạt dừng lại, các phím đều về trạng thái ban đầu</t>
  </si>
  <si>
    <t xml:space="preserve">Tự viết (edge case)</t>
  </si>
  <si>
    <t xml:space="preserve">TC12</t>
  </si>
  <si>
    <t xml:space="preserve">Ấn một lúc 2 phím khác khi quạt đang chạy</t>
  </si>
  <si>
    <t xml:space="preserve">Quạt ở số 1, xoay tắt</t>
  </si>
  <si>
    <t xml:space="preserve">Phím 2 và phím 3</t>
  </si>
  <si>
    <t xml:space="preserve">1. Nhấn phím 2 và phím 3 (dưới 0.5s)
2. Quan sát 10 s</t>
  </si>
  <si>
    <t xml:space="preserve">Tất cả các phím đều tắt, quạt ngừng quay</t>
  </si>
  <si>
    <t xml:space="preserve">Phím 1 bị nảy lên (tắt), phím 2 và phím 3 cũng trở về trạng thái ban đầu, quạt bắt đầu ngừng quay</t>
  </si>
  <si>
    <t xml:space="preserve">TC13</t>
  </si>
  <si>
    <t xml:space="preserve">Ấn và giữ phím số 1 và phím số 2 cùng lúc, sau đó thả ra cùng lúc</t>
  </si>
  <si>
    <t xml:space="preserve">1. Nhấn và giữ phím 1 và phím 2 cùng lúc
2. Giữ nguyên và quan sát trong 10s
3. Thả ra và quan sát trong 10s</t>
  </si>
  <si>
    <t xml:space="preserve">Lúc nhấn và giữ phím thì quạt chạy, thả ra thì các phím về trạng thái ban đầu, quạt ngừng quay</t>
  </si>
  <si>
    <t xml:space="preserve">Ngay lúc nhấn và giữ phím thì quạt chạy, sau khi thả ra thì quạt ngừng chạy, các phím cũng về vị trí ban đầu</t>
  </si>
  <si>
    <t xml:space="preserve">https://youtube.com/shorts/A_vSgwTg9FM</t>
  </si>
  <si>
    <t xml:space="preserve">TC14</t>
  </si>
  <si>
    <t xml:space="preserve">Ấn và giữ phím số 2 và phím số 3 cùng lúc, sau đó thả ra cùng lúc</t>
  </si>
  <si>
    <t xml:space="preserve">1. Nhấn và giữ phím 2 và phím 3 cùng lúc
2. Giữ nguyên và quan sát trong 10s
3. Thả ra và quan sát trong 10s</t>
  </si>
  <si>
    <t xml:space="preserve">Ngay lúc nhấn và giữ phím thì quạt chạy, sau khi thả ra thì quạt vẫn tiếp tục chạy, cả 2 phím 2 và 3 đều ở trạng thái bật</t>
  </si>
  <si>
    <t xml:space="preserve">Fail</t>
  </si>
  <si>
    <t xml:space="preserve">https://youtube.com/shorts/N6g_rdBOvq8</t>
  </si>
  <si>
    <t xml:space="preserve">TC15</t>
  </si>
  <si>
    <t xml:space="preserve">Quạt duy trì hoạt động dù bị tác động nhẹ ở dây nguồn</t>
  </si>
  <si>
    <t xml:space="preserve">Error guessing (lỗi phần cứng / môi trường)</t>
  </si>
  <si>
    <t xml:space="preserve">F4</t>
  </si>
  <si>
    <t xml:space="preserve">Dây điện của quạt</t>
  </si>
  <si>
    <t xml:space="preserve">1. Quan sát ổ cắm ban đầu 5s
2. Đụng dây điện rồi quan sát quạt
3. Quan sát lại ổ cắm</t>
  </si>
  <si>
    <t xml:space="preserve">Ban đầu quạt chạy bình thường, ổ cắm cũng bình thường, sau khi đụng dây điện nhẹ thì quạt vẫn chạy, nhìn lại ổ cắm vẫn trong ổ bình thường.</t>
  </si>
  <si>
    <t xml:space="preserve">Ban đầu quạt chạy bình thường, ổ cắm cũng bình thường, sau khi đụng dây điện nhẹ thì quạt tắt, nhìn lại ổ cắm vẫn trong ổ bình thường.</t>
  </si>
  <si>
    <t xml:space="preserve">https://youtube.com/shorts/5e5LxFaJfJ0</t>
  </si>
  <si>
    <t xml:space="preserve">HW01 – Checklist kiểm tra nhanh: Quạt điện Kakashi B300</t>
  </si>
  <si>
    <t xml:space="preserve">Trạng thái lấy tự động từ Verdict của TC tham chiếu (sheet Test Cases). Mục không có TC tham chiếu = Not Run (ngoài phạm vi HW01).</t>
  </si>
  <si>
    <t xml:space="preserve">#</t>
  </si>
  <si>
    <t xml:space="preserve">Nhóm</t>
  </si>
  <si>
    <t xml:space="preserve">Mục kiểm tra</t>
  </si>
  <si>
    <t xml:space="preserve">TC tham chiếu</t>
  </si>
  <si>
    <t xml:space="preserve">Trạng thái</t>
  </si>
  <si>
    <t xml:space="preserve">Ghi chú</t>
  </si>
  <si>
    <t xml:space="preserve">Chức năng tốc độ</t>
  </si>
  <si>
    <t xml:space="preserve">Phím 1 bật quạt, cánh quay trong &lt;= 3 s</t>
  </si>
  <si>
    <t xml:space="preserve">Phím 3 cho gió mạnh nhất, không rung lắc</t>
  </si>
  <si>
    <t xml:space="preserve">Tốc độ tăng đúng thứ tự 1 &lt; 2 &lt; 3</t>
  </si>
  <si>
    <t xml:space="preserve">Đo bằng app dB</t>
  </si>
  <si>
    <t xml:space="preserve">Chuyển số không liền kề (3 → 1) hoạt động đúng</t>
  </si>
  <si>
    <t xml:space="preserve">Phím 0 tắt quạt, cánh dừng hẳn</t>
  </si>
  <si>
    <t xml:space="preserve">Dừng sau 6 s</t>
  </si>
  <si>
    <t xml:space="preserve">Nhấn thừa (lặp phím, nhấn 0 khi đã tắt) không gây lỗi</t>
  </si>
  <si>
    <t xml:space="preserve">Chế độ xoay</t>
  </si>
  <si>
    <t xml:space="preserve">Bật xoay khi đang chạy: xoay đều, không kẹt biên</t>
  </si>
  <si>
    <t xml:space="preserve">Tắt xoay giữa hành trình: đầu quạt dừng tại chỗ</t>
  </si>
  <si>
    <t xml:space="preserve">Xoay chỉ hoạt động khi cánh quay</t>
  </si>
  <si>
    <t xml:space="preserve">Khóa liên động phím</t>
  </si>
  <si>
    <t xml:space="preserve">Nhấn nhanh 2 phím (1+2) cùng lúc: không kẹt phím</t>
  </si>
  <si>
    <t xml:space="preserve">Nhấn 2 phím khi đang chạy: không kẹt phím</t>
  </si>
  <si>
    <t xml:space="preserve">Nhấn giữ 2 phím 1+2 rồi thả: không kẹt phím</t>
  </si>
  <si>
    <t xml:space="preserve">Nhấn giữ 2 phím 2+3 rồi thả: không kẹt phím</t>
  </si>
  <si>
    <t xml:space="preserve">BUG-01</t>
  </si>
  <si>
    <t xml:space="preserve">Nguồn điện</t>
  </si>
  <si>
    <t xml:space="preserve">Mất điện và có điện lại: quạt chạy lại đúng số đang giữ</t>
  </si>
  <si>
    <t xml:space="preserve">Dây nguồn / phích tiếp xúc ổn định khi bị chạm nhẹ</t>
  </si>
  <si>
    <t xml:space="preserve">BUG-02</t>
  </si>
  <si>
    <t xml:space="preserve">Độ bền</t>
  </si>
  <si>
    <t xml:space="preserve">Chạy liên tục 30 phút ở số 3: không mùi khét, không nóng bất thường</t>
  </si>
  <si>
    <t xml:space="preserve">Không chạy trong HW01 (phòng 39°C, tốn thời gian)</t>
  </si>
  <si>
    <t xml:space="preserve">An toàn</t>
  </si>
  <si>
    <t xml:space="preserve">Đế đứng vững, không xê dịch khi chạy số 3 + xoay</t>
  </si>
  <si>
    <t xml:space="preserve">Không chạy trong HW01 (ưu tiên thấp)</t>
  </si>
  <si>
    <t xml:space="preserve">HW01 – Test Summary Report</t>
  </si>
  <si>
    <t xml:space="preserve">Sản phẩm</t>
  </si>
  <si>
    <t xml:space="preserve">Quạt điện Kakashi, model B300 (35W, 220V)</t>
  </si>
  <si>
    <t xml:space="preserve">Người kiểm thử</t>
  </si>
  <si>
    <t xml:space="preserve">Lê Tấn Hiệp – 23120255</t>
  </si>
  <si>
    <t xml:space="preserve">Ngày thực thi</t>
  </si>
  <si>
    <t xml:space="preserve">Môi trường</t>
  </si>
  <si>
    <t xml:space="preserve">Nguồn 220V, phòng ~39°C; đồng hồ bấm giờ, app đo dB</t>
  </si>
  <si>
    <t xml:space="preserve">Phạm vi</t>
  </si>
  <si>
    <t xml:space="preserve">F1 phím tốc độ, F2 chế độ xoay, F3 xoay phụ thuộc motor, F4 nguồn điện; ngoài phạm vi: chống nước, quá áp</t>
  </si>
  <si>
    <t xml:space="preserve">1. Kết quả thực thi</t>
  </si>
  <si>
    <t xml:space="preserve">Chỉ số</t>
  </si>
  <si>
    <t xml:space="preserve">Số lượng</t>
  </si>
  <si>
    <t xml:space="preserve">Tỉ lệ</t>
  </si>
  <si>
    <t xml:space="preserve">Tổng TC thiết kế</t>
  </si>
  <si>
    <t xml:space="preserve">Blocked</t>
  </si>
  <si>
    <t xml:space="preserve">Not Run</t>
  </si>
  <si>
    <t xml:space="preserve">Đã thực thi (Pass + Fail)</t>
  </si>
  <si>
    <t xml:space="preserve">TC nguồn AI (Claude, đã review)</t>
  </si>
  <si>
    <t xml:space="preserve">TC SV tự viết (edge case)</t>
  </si>
  <si>
    <t xml:space="preserve">TC có video minh chứng</t>
  </si>
  <si>
    <t xml:space="preserve">Pass rate (trên số TC đã thực thi)</t>
  </si>
  <si>
    <t xml:space="preserve">2. Độ bao phủ theo chức năng</t>
  </si>
  <si>
    <t xml:space="preserve">Số TC</t>
  </si>
  <si>
    <t xml:space="preserve">F1 – Phím tốc độ 0/1/2/3</t>
  </si>
  <si>
    <t xml:space="preserve">F2 – Chế độ xoay</t>
  </si>
  <si>
    <t xml:space="preserve">F3 – Xoay phụ thuộc motor cánh</t>
  </si>
  <si>
    <t xml:space="preserve">F4 – Nguồn điện 220V</t>
  </si>
  <si>
    <t xml:space="preserve">3. Defect phát hiện</t>
  </si>
  <si>
    <t xml:space="preserve">Bug ID</t>
  </si>
  <si>
    <t xml:space="preserve">TC</t>
  </si>
  <si>
    <t xml:space="preserve">Tóm tắt</t>
  </si>
  <si>
    <t xml:space="preserve">Severity</t>
  </si>
  <si>
    <t xml:space="preserve">Priority</t>
  </si>
  <si>
    <t xml:space="preserve">Mantis</t>
  </si>
  <si>
    <t xml:space="preserve">Nhấn giữ đồng thời phím 2 và 3 rồi thả ra: cả hai phím bị kẹt ở trạng thái bật, quạt vẫn chạy</t>
  </si>
  <si>
    <t xml:space="preserve">High</t>
  </si>
  <si>
    <t xml:space="preserve">New</t>
  </si>
  <si>
    <t xml:space="preserve">Chưa log (chờ giảng viên xác nhận yêu cầu)</t>
  </si>
  <si>
    <t xml:space="preserve">Tác động nhẹ vào dây nguồn khi quạt đang chạy thì quạt tắt, dù phích vẫn cắm trong ổ</t>
  </si>
  <si>
    <t xml:space="preserve">Tổng số defect</t>
  </si>
  <si>
    <t xml:space="preserve">Khớp với số TC Fail:</t>
  </si>
  <si>
    <t xml:space="preserve">4. Kết luận</t>
  </si>
  <si>
    <t xml:space="preserve">Quạt về các chức năng cơ bản, các trường hợp thông dụng thì vẫn bình thường, ổn định sau khi pass 13/15 Test cases. Nhưng với các trường hợp biên như sử dụng 2 nút cùng 1 lúc thì kết quả không giống như đã dự kiến, và cũng không nhất quán mặc dù thao tác gần như tương đương (TC13, TC14). Quạt có lẽ đã cũ, yếu khi bị lỏng ở phích cắm, mặc dù cắm trong ổ điện bình thường, một va chạm nhỏ với dây điện cũng làm quạt dừng quay mặc dù phích cắm chưa ra khỏi ổ điện.</t>
  </si>
  <si>
    <t xml:space="preserve">5. Lịch sử cập nhật (incremental)</t>
  </si>
  <si>
    <t xml:space="preserve">Phiên bản</t>
  </si>
  <si>
    <t xml:space="preserve">Ngày</t>
  </si>
  <si>
    <t xml:space="preserve">Nội dung thay đổi</t>
  </si>
  <si>
    <t xml:space="preserve">30/09/2026</t>
  </si>
  <si>
    <t xml:space="preserve">Khởi tạo: 15 TC quạt Kakashi B300 (10 AI + 5 SV), 2 defect</t>
  </si>
  <si>
    <t xml:space="preserve">Các HW sau (HW02+ với EShop SUT): thêm dòng mới ở đây và thêm TC vào sheet Test Cases với cột HW tương ứng.</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</si>
</sst>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
      <b val="true"/>
      <sz val="10"/>
      <name val="Arial"/>
      <family val="0"/>
      <charset val="1"/>
    </font>
    <font>
      <b val="true"/>
      <sz val="11"/>
      <color rgb="FF1F3864"/>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2CC"/>
        <bgColor rgb="FFEDEDED"/>
      </patternFill>
    </fill>
    <fill>
      <patternFill patternType="solid">
        <fgColor rgb="FFC6EFCE"/>
        <bgColor rgb="FFCCFFFF"/>
      </patternFill>
    </fill>
    <fill>
      <patternFill patternType="solid">
        <fgColor rgb="FFFFC7CE"/>
        <bgColor rgb="FFEDEDED"/>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563C1"/>
          <bgColor rgb="FF000000"/>
        </patternFill>
      </fill>
    </dxf>
    <dxf>
      <fill>
        <patternFill>
          <bgColor rgb="FFC6EFCE"/>
        </patternFill>
      </fill>
    </dxf>
    <dxf>
      <fill>
        <patternFill>
          <bgColor rgb="FFFFC7CE"/>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DED"/>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youtube.com/shorts/hYVlc8Ss0AA" TargetMode="External"/><Relationship Id="rId2" Type="http://schemas.openxmlformats.org/officeDocument/2006/relationships/hyperlink" Target="https://youtube.com/shorts/oNhAVh2MhJg" TargetMode="External"/><Relationship Id="rId3" Type="http://schemas.openxmlformats.org/officeDocument/2006/relationships/hyperlink" Target="https://youtube.com/shorts/A_vSgwTg9FM" TargetMode="External"/><Relationship Id="rId4" Type="http://schemas.openxmlformats.org/officeDocument/2006/relationships/hyperlink" Target="https://youtube.com/shorts/N6g_rdBOvq8" TargetMode="External"/><Relationship Id="rId5" Type="http://schemas.openxmlformats.org/officeDocument/2006/relationships/hyperlink" Target="https://youtube.com/shorts/5e5LxFaJfJ0" TargetMode="External"/><Relationship Id="rId6"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28"/>
    <col collapsed="false" customWidth="true" hidden="false" outlineLevel="0" max="4" min="4" style="0" width="22"/>
    <col collapsed="false" customWidth="true" hidden="false" outlineLevel="0" max="5" min="5" style="0" width="9"/>
    <col collapsed="false" customWidth="true" hidden="false" outlineLevel="0" max="6" min="6" style="0" width="30"/>
    <col collapsed="false" customWidth="true" hidden="false" outlineLevel="0" max="7" min="7" style="0" width="18"/>
    <col collapsed="false" customWidth="true" hidden="false" outlineLevel="0" max="8" min="8" style="0" width="34"/>
    <col collapsed="false" customWidth="true" hidden="false" outlineLevel="0" max="10" min="9" style="0" width="3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26"/>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row>
    <row r="5" customFormat="false" ht="46.25" hidden="false" customHeight="false" outlineLevel="0" collapsed="false">
      <c r="A5" s="4" t="s">
        <v>16</v>
      </c>
      <c r="B5" s="4" t="s">
        <v>17</v>
      </c>
      <c r="C5" s="5" t="s">
        <v>18</v>
      </c>
      <c r="D5" s="5" t="s">
        <v>19</v>
      </c>
      <c r="E5" s="4" t="s">
        <v>20</v>
      </c>
      <c r="F5" s="5" t="s">
        <v>21</v>
      </c>
      <c r="G5" s="5" t="s">
        <v>22</v>
      </c>
      <c r="H5" s="5" t="s">
        <v>23</v>
      </c>
      <c r="I5" s="5" t="s">
        <v>24</v>
      </c>
      <c r="J5" s="6" t="s">
        <v>25</v>
      </c>
      <c r="K5" s="7" t="s">
        <v>26</v>
      </c>
      <c r="L5" s="5" t="s">
        <v>27</v>
      </c>
      <c r="M5" s="7" t="s">
        <v>28</v>
      </c>
      <c r="N5" s="8" t="s">
        <v>29</v>
      </c>
    </row>
    <row r="6" customFormat="false" ht="46.25" hidden="false" customHeight="false" outlineLevel="0" collapsed="false">
      <c r="A6" s="4" t="s">
        <v>30</v>
      </c>
      <c r="B6" s="4" t="s">
        <v>17</v>
      </c>
      <c r="C6" s="5" t="s">
        <v>31</v>
      </c>
      <c r="D6" s="5" t="s">
        <v>32</v>
      </c>
      <c r="E6" s="4" t="s">
        <v>20</v>
      </c>
      <c r="F6" s="5" t="s">
        <v>21</v>
      </c>
      <c r="G6" s="5" t="s">
        <v>33</v>
      </c>
      <c r="H6" s="5" t="s">
        <v>34</v>
      </c>
      <c r="I6" s="5" t="s">
        <v>35</v>
      </c>
      <c r="J6" s="6" t="s">
        <v>35</v>
      </c>
      <c r="K6" s="7" t="s">
        <v>26</v>
      </c>
      <c r="L6" s="5" t="s">
        <v>27</v>
      </c>
      <c r="M6" s="7"/>
      <c r="N6" s="6"/>
    </row>
    <row r="7" customFormat="false" ht="46.25" hidden="false" customHeight="false" outlineLevel="0" collapsed="false">
      <c r="A7" s="4" t="s">
        <v>36</v>
      </c>
      <c r="B7" s="4" t="s">
        <v>17</v>
      </c>
      <c r="C7" s="5" t="s">
        <v>37</v>
      </c>
      <c r="D7" s="5" t="s">
        <v>38</v>
      </c>
      <c r="E7" s="4" t="s">
        <v>20</v>
      </c>
      <c r="F7" s="5" t="s">
        <v>39</v>
      </c>
      <c r="G7" s="5" t="s">
        <v>40</v>
      </c>
      <c r="H7" s="5" t="s">
        <v>41</v>
      </c>
      <c r="I7" s="5" t="s">
        <v>42</v>
      </c>
      <c r="J7" s="6" t="s">
        <v>43</v>
      </c>
      <c r="K7" s="7" t="s">
        <v>26</v>
      </c>
      <c r="L7" s="5" t="s">
        <v>27</v>
      </c>
      <c r="M7" s="7"/>
      <c r="N7" s="6"/>
    </row>
    <row r="8" customFormat="false" ht="57.45" hidden="false" customHeight="false" outlineLevel="0" collapsed="false">
      <c r="A8" s="4" t="s">
        <v>44</v>
      </c>
      <c r="B8" s="4" t="s">
        <v>17</v>
      </c>
      <c r="C8" s="5" t="s">
        <v>45</v>
      </c>
      <c r="D8" s="5" t="s">
        <v>46</v>
      </c>
      <c r="E8" s="4" t="s">
        <v>20</v>
      </c>
      <c r="F8" s="5" t="s">
        <v>47</v>
      </c>
      <c r="G8" s="5" t="s">
        <v>48</v>
      </c>
      <c r="H8" s="5" t="s">
        <v>49</v>
      </c>
      <c r="I8" s="5" t="s">
        <v>50</v>
      </c>
      <c r="J8" s="6" t="s">
        <v>51</v>
      </c>
      <c r="K8" s="7" t="s">
        <v>26</v>
      </c>
      <c r="L8" s="5" t="s">
        <v>27</v>
      </c>
      <c r="M8" s="7"/>
      <c r="N8" s="6"/>
    </row>
    <row r="9" customFormat="false" ht="35.05" hidden="false" customHeight="false" outlineLevel="0" collapsed="false">
      <c r="A9" s="4" t="s">
        <v>52</v>
      </c>
      <c r="B9" s="4" t="s">
        <v>17</v>
      </c>
      <c r="C9" s="5" t="s">
        <v>53</v>
      </c>
      <c r="D9" s="5" t="s">
        <v>54</v>
      </c>
      <c r="E9" s="4" t="s">
        <v>20</v>
      </c>
      <c r="F9" s="5" t="s">
        <v>55</v>
      </c>
      <c r="G9" s="5" t="s">
        <v>22</v>
      </c>
      <c r="H9" s="5" t="s">
        <v>56</v>
      </c>
      <c r="I9" s="5" t="s">
        <v>57</v>
      </c>
      <c r="J9" s="6" t="s">
        <v>58</v>
      </c>
      <c r="K9" s="7" t="s">
        <v>26</v>
      </c>
      <c r="L9" s="5" t="s">
        <v>27</v>
      </c>
      <c r="M9" s="7"/>
      <c r="N9" s="6"/>
    </row>
    <row r="10" customFormat="false" ht="35.05" hidden="false" customHeight="false" outlineLevel="0" collapsed="false">
      <c r="A10" s="4" t="s">
        <v>59</v>
      </c>
      <c r="B10" s="4" t="s">
        <v>17</v>
      </c>
      <c r="C10" s="5" t="s">
        <v>60</v>
      </c>
      <c r="D10" s="5" t="s">
        <v>61</v>
      </c>
      <c r="E10" s="4" t="s">
        <v>62</v>
      </c>
      <c r="F10" s="5" t="s">
        <v>63</v>
      </c>
      <c r="G10" s="5" t="s">
        <v>64</v>
      </c>
      <c r="H10" s="5" t="s">
        <v>65</v>
      </c>
      <c r="I10" s="5" t="s">
        <v>66</v>
      </c>
      <c r="J10" s="6" t="s">
        <v>67</v>
      </c>
      <c r="K10" s="7" t="s">
        <v>26</v>
      </c>
      <c r="L10" s="5" t="s">
        <v>27</v>
      </c>
      <c r="M10" s="7"/>
      <c r="N10" s="6"/>
    </row>
    <row r="11" customFormat="false" ht="35.05" hidden="false" customHeight="false" outlineLevel="0" collapsed="false">
      <c r="A11" s="4" t="s">
        <v>68</v>
      </c>
      <c r="B11" s="4" t="s">
        <v>17</v>
      </c>
      <c r="C11" s="5" t="s">
        <v>69</v>
      </c>
      <c r="D11" s="5" t="s">
        <v>70</v>
      </c>
      <c r="E11" s="4" t="s">
        <v>62</v>
      </c>
      <c r="F11" s="5" t="s">
        <v>71</v>
      </c>
      <c r="G11" s="5" t="s">
        <v>72</v>
      </c>
      <c r="H11" s="5" t="s">
        <v>73</v>
      </c>
      <c r="I11" s="5" t="s">
        <v>74</v>
      </c>
      <c r="J11" s="6" t="s">
        <v>75</v>
      </c>
      <c r="K11" s="7" t="s">
        <v>26</v>
      </c>
      <c r="L11" s="5" t="s">
        <v>27</v>
      </c>
      <c r="M11" s="7"/>
      <c r="N11" s="6"/>
    </row>
    <row r="12" customFormat="false" ht="46.25" hidden="false" customHeight="false" outlineLevel="0" collapsed="false">
      <c r="A12" s="4" t="s">
        <v>76</v>
      </c>
      <c r="B12" s="4" t="s">
        <v>17</v>
      </c>
      <c r="C12" s="5" t="s">
        <v>77</v>
      </c>
      <c r="D12" s="5" t="s">
        <v>78</v>
      </c>
      <c r="E12" s="4" t="s">
        <v>79</v>
      </c>
      <c r="F12" s="5" t="s">
        <v>21</v>
      </c>
      <c r="G12" s="5" t="s">
        <v>80</v>
      </c>
      <c r="H12" s="5" t="s">
        <v>81</v>
      </c>
      <c r="I12" s="5" t="s">
        <v>82</v>
      </c>
      <c r="J12" s="6" t="s">
        <v>83</v>
      </c>
      <c r="K12" s="7" t="s">
        <v>26</v>
      </c>
      <c r="L12" s="5" t="s">
        <v>27</v>
      </c>
      <c r="M12" s="7" t="s">
        <v>28</v>
      </c>
      <c r="N12" s="8" t="s">
        <v>84</v>
      </c>
    </row>
    <row r="13" customFormat="false" ht="35.05" hidden="false" customHeight="false" outlineLevel="0" collapsed="false">
      <c r="A13" s="4" t="s">
        <v>85</v>
      </c>
      <c r="B13" s="4" t="s">
        <v>17</v>
      </c>
      <c r="C13" s="5" t="s">
        <v>86</v>
      </c>
      <c r="D13" s="5" t="s">
        <v>87</v>
      </c>
      <c r="E13" s="4" t="s">
        <v>88</v>
      </c>
      <c r="F13" s="5" t="s">
        <v>89</v>
      </c>
      <c r="G13" s="5" t="s">
        <v>90</v>
      </c>
      <c r="H13" s="5" t="s">
        <v>91</v>
      </c>
      <c r="I13" s="5" t="s">
        <v>92</v>
      </c>
      <c r="J13" s="6" t="s">
        <v>93</v>
      </c>
      <c r="K13" s="7" t="s">
        <v>26</v>
      </c>
      <c r="L13" s="5" t="s">
        <v>27</v>
      </c>
      <c r="M13" s="7"/>
      <c r="N13" s="6"/>
    </row>
    <row r="14" customFormat="false" ht="35.05" hidden="false" customHeight="false" outlineLevel="0" collapsed="false">
      <c r="A14" s="4" t="s">
        <v>94</v>
      </c>
      <c r="B14" s="4" t="s">
        <v>17</v>
      </c>
      <c r="C14" s="5" t="s">
        <v>95</v>
      </c>
      <c r="D14" s="5" t="s">
        <v>96</v>
      </c>
      <c r="E14" s="4" t="s">
        <v>20</v>
      </c>
      <c r="F14" s="5" t="s">
        <v>97</v>
      </c>
      <c r="G14" s="5" t="s">
        <v>98</v>
      </c>
      <c r="H14" s="5" t="s">
        <v>99</v>
      </c>
      <c r="I14" s="5" t="s">
        <v>100</v>
      </c>
      <c r="J14" s="6" t="s">
        <v>101</v>
      </c>
      <c r="K14" s="7" t="s">
        <v>26</v>
      </c>
      <c r="L14" s="5" t="s">
        <v>27</v>
      </c>
      <c r="M14" s="7"/>
      <c r="N14" s="6"/>
    </row>
    <row r="15" customFormat="false" ht="46.25" hidden="false" customHeight="false" outlineLevel="0" collapsed="false">
      <c r="A15" s="4" t="s">
        <v>102</v>
      </c>
      <c r="B15" s="4" t="s">
        <v>17</v>
      </c>
      <c r="C15" s="5" t="s">
        <v>103</v>
      </c>
      <c r="D15" s="5" t="s">
        <v>104</v>
      </c>
      <c r="E15" s="4" t="s">
        <v>20</v>
      </c>
      <c r="F15" s="5" t="s">
        <v>21</v>
      </c>
      <c r="G15" s="5" t="s">
        <v>105</v>
      </c>
      <c r="H15" s="5" t="s">
        <v>106</v>
      </c>
      <c r="I15" s="5" t="s">
        <v>107</v>
      </c>
      <c r="J15" s="6" t="s">
        <v>108</v>
      </c>
      <c r="K15" s="7" t="s">
        <v>26</v>
      </c>
      <c r="L15" s="5" t="s">
        <v>109</v>
      </c>
      <c r="M15" s="7"/>
      <c r="N15" s="6"/>
    </row>
    <row r="16" customFormat="false" ht="35.05" hidden="false" customHeight="false" outlineLevel="0" collapsed="false">
      <c r="A16" s="4" t="s">
        <v>110</v>
      </c>
      <c r="B16" s="4" t="s">
        <v>17</v>
      </c>
      <c r="C16" s="5" t="s">
        <v>111</v>
      </c>
      <c r="D16" s="5" t="s">
        <v>104</v>
      </c>
      <c r="E16" s="4" t="s">
        <v>20</v>
      </c>
      <c r="F16" s="5" t="s">
        <v>112</v>
      </c>
      <c r="G16" s="5" t="s">
        <v>113</v>
      </c>
      <c r="H16" s="5" t="s">
        <v>114</v>
      </c>
      <c r="I16" s="5" t="s">
        <v>115</v>
      </c>
      <c r="J16" s="6" t="s">
        <v>116</v>
      </c>
      <c r="K16" s="7" t="s">
        <v>26</v>
      </c>
      <c r="L16" s="5" t="s">
        <v>109</v>
      </c>
      <c r="M16" s="7"/>
      <c r="N16" s="6"/>
    </row>
    <row r="17" customFormat="false" ht="46.25" hidden="false" customHeight="false" outlineLevel="0" collapsed="false">
      <c r="A17" s="4" t="s">
        <v>117</v>
      </c>
      <c r="B17" s="4" t="s">
        <v>17</v>
      </c>
      <c r="C17" s="5" t="s">
        <v>118</v>
      </c>
      <c r="D17" s="5" t="s">
        <v>104</v>
      </c>
      <c r="E17" s="4" t="s">
        <v>20</v>
      </c>
      <c r="F17" s="5" t="s">
        <v>21</v>
      </c>
      <c r="G17" s="5" t="s">
        <v>105</v>
      </c>
      <c r="H17" s="5" t="s">
        <v>119</v>
      </c>
      <c r="I17" s="5" t="s">
        <v>120</v>
      </c>
      <c r="J17" s="6" t="s">
        <v>121</v>
      </c>
      <c r="K17" s="7" t="s">
        <v>26</v>
      </c>
      <c r="L17" s="5" t="s">
        <v>109</v>
      </c>
      <c r="M17" s="7" t="s">
        <v>28</v>
      </c>
      <c r="N17" s="8" t="s">
        <v>122</v>
      </c>
    </row>
    <row r="18" customFormat="false" ht="46.25" hidden="false" customHeight="false" outlineLevel="0" collapsed="false">
      <c r="A18" s="4" t="s">
        <v>123</v>
      </c>
      <c r="B18" s="4" t="s">
        <v>17</v>
      </c>
      <c r="C18" s="5" t="s">
        <v>124</v>
      </c>
      <c r="D18" s="5" t="s">
        <v>104</v>
      </c>
      <c r="E18" s="4" t="s">
        <v>20</v>
      </c>
      <c r="F18" s="5" t="s">
        <v>21</v>
      </c>
      <c r="G18" s="5" t="s">
        <v>113</v>
      </c>
      <c r="H18" s="5" t="s">
        <v>125</v>
      </c>
      <c r="I18" s="5" t="s">
        <v>120</v>
      </c>
      <c r="J18" s="6" t="s">
        <v>126</v>
      </c>
      <c r="K18" s="7" t="s">
        <v>127</v>
      </c>
      <c r="L18" s="5" t="s">
        <v>109</v>
      </c>
      <c r="M18" s="7" t="s">
        <v>28</v>
      </c>
      <c r="N18" s="8" t="s">
        <v>128</v>
      </c>
    </row>
    <row r="19" customFormat="false" ht="46.25" hidden="false" customHeight="false" outlineLevel="0" collapsed="false">
      <c r="A19" s="4" t="s">
        <v>129</v>
      </c>
      <c r="B19" s="4" t="s">
        <v>17</v>
      </c>
      <c r="C19" s="5" t="s">
        <v>130</v>
      </c>
      <c r="D19" s="5" t="s">
        <v>131</v>
      </c>
      <c r="E19" s="4" t="s">
        <v>132</v>
      </c>
      <c r="F19" s="5" t="s">
        <v>112</v>
      </c>
      <c r="G19" s="5" t="s">
        <v>133</v>
      </c>
      <c r="H19" s="5" t="s">
        <v>134</v>
      </c>
      <c r="I19" s="5" t="s">
        <v>135</v>
      </c>
      <c r="J19" s="6" t="s">
        <v>136</v>
      </c>
      <c r="K19" s="7" t="s">
        <v>127</v>
      </c>
      <c r="L19" s="5" t="s">
        <v>109</v>
      </c>
      <c r="M19" s="7" t="s">
        <v>28</v>
      </c>
      <c r="N19" s="8" t="s">
        <v>137</v>
      </c>
    </row>
  </sheetData>
  <autoFilter ref="A4:N19"/>
  <conditionalFormatting sqref="K5:K200">
    <cfRule type="cellIs" priority="2" operator="equal" aboveAverage="0" equalAverage="0" bottom="0" percent="0" rank="0" text="" dxfId="7">
      <formula>"Pass"</formula>
    </cfRule>
    <cfRule type="cellIs" priority="3" operator="equal" aboveAverage="0" equalAverage="0" bottom="0" percent="0" rank="0" text="" dxfId="8">
      <formula>"Fail"</formula>
    </cfRule>
    <cfRule type="cellIs" priority="4" operator="equal" aboveAverage="0" equalAverage="0" bottom="0" percent="0" rank="0" text="" dxfId="9">
      <formula>"Not Run"</formula>
    </cfRule>
    <cfRule type="cellIs" priority="5" operator="equal" aboveAverage="0" equalAverage="0" bottom="0" percent="0" rank="0" text="" dxfId="9">
      <formula>"Blocked"</formula>
    </cfRule>
  </conditionalFormatting>
  <dataValidations count="1">
    <dataValidation allowBlank="true" errorStyle="stop" operator="between" showDropDown="false" showErrorMessage="false" showInputMessage="false" sqref="K5:K200" type="list">
      <formula1>"Pass,Fail,Blocked,Not Run"</formula1>
      <formula2>0</formula2>
    </dataValidation>
  </dataValidations>
  <hyperlinks>
    <hyperlink ref="N5" r:id="rId1" display="https://youtube.com/shorts/hYVlc8Ss0AA"/>
    <hyperlink ref="N12" r:id="rId2" display="https://youtube.com/shorts/oNhAVh2MhJg"/>
    <hyperlink ref="N17" r:id="rId3" display="https://youtube.com/shorts/A_vSgwTg9FM"/>
    <hyperlink ref="N18" r:id="rId4" display="https://youtube.com/shorts/N6g_rdBOvq8"/>
    <hyperlink ref="N19" r:id="rId5" display="https://youtube.com/shorts/5e5LxFaJfJ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55"/>
    <col collapsed="false" customWidth="true" hidden="false" outlineLevel="0" max="4" min="4" style="0" width="13"/>
    <col collapsed="false" customWidth="true" hidden="false" outlineLevel="0" max="5" min="5" style="0" width="12"/>
    <col collapsed="false" customWidth="true" hidden="false" outlineLevel="0" max="6" min="6" style="0" width="40"/>
  </cols>
  <sheetData>
    <row r="1" customFormat="false" ht="17.35" hidden="false" customHeight="false" outlineLevel="0" collapsed="false">
      <c r="A1" s="1" t="s">
        <v>138</v>
      </c>
    </row>
    <row r="2" customFormat="false" ht="15" hidden="false" customHeight="false" outlineLevel="0" collapsed="false">
      <c r="A2" s="2" t="s">
        <v>139</v>
      </c>
    </row>
    <row r="4" customFormat="false" ht="15" hidden="false" customHeight="false" outlineLevel="0" collapsed="false">
      <c r="A4" s="3" t="s">
        <v>140</v>
      </c>
      <c r="B4" s="3" t="s">
        <v>141</v>
      </c>
      <c r="C4" s="3" t="s">
        <v>142</v>
      </c>
      <c r="D4" s="3" t="s">
        <v>143</v>
      </c>
      <c r="E4" s="3" t="s">
        <v>144</v>
      </c>
      <c r="F4" s="3" t="s">
        <v>145</v>
      </c>
    </row>
    <row r="5" customFormat="false" ht="15" hidden="false" customHeight="false" outlineLevel="0" collapsed="false">
      <c r="A5" s="4" t="n">
        <v>1</v>
      </c>
      <c r="B5" s="5" t="s">
        <v>146</v>
      </c>
      <c r="C5" s="5" t="s">
        <v>147</v>
      </c>
      <c r="D5" s="4" t="s">
        <v>16</v>
      </c>
      <c r="E5" s="4" t="str">
        <f aca="false">IF(D5="","Not Run",IFERROR(INDEX('Test Cases'!$K:$K,MATCH(D5,'Test Cases'!$A:$A,0)),"Not Run"))</f>
        <v>Pass</v>
      </c>
      <c r="F5" s="5"/>
    </row>
    <row r="6" customFormat="false" ht="15" hidden="false" customHeight="false" outlineLevel="0" collapsed="false">
      <c r="A6" s="4" t="n">
        <v>2</v>
      </c>
      <c r="B6" s="5" t="s">
        <v>146</v>
      </c>
      <c r="C6" s="5" t="s">
        <v>148</v>
      </c>
      <c r="D6" s="4" t="s">
        <v>30</v>
      </c>
      <c r="E6" s="4" t="str">
        <f aca="false">IF(D6="","Not Run",IFERROR(INDEX('Test Cases'!$K:$K,MATCH(D6,'Test Cases'!$A:$A,0)),"Not Run"))</f>
        <v>Pass</v>
      </c>
      <c r="F6" s="5"/>
    </row>
    <row r="7" customFormat="false" ht="15" hidden="false" customHeight="false" outlineLevel="0" collapsed="false">
      <c r="A7" s="4" t="n">
        <v>3</v>
      </c>
      <c r="B7" s="5" t="s">
        <v>146</v>
      </c>
      <c r="C7" s="5" t="s">
        <v>149</v>
      </c>
      <c r="D7" s="4" t="s">
        <v>44</v>
      </c>
      <c r="E7" s="4" t="str">
        <f aca="false">IF(D7="","Not Run",IFERROR(INDEX('Test Cases'!$K:$K,MATCH(D7,'Test Cases'!$A:$A,0)),"Not Run"))</f>
        <v>Pass</v>
      </c>
      <c r="F7" s="5" t="s">
        <v>150</v>
      </c>
    </row>
    <row r="8" customFormat="false" ht="15" hidden="false" customHeight="false" outlineLevel="0" collapsed="false">
      <c r="A8" s="4" t="n">
        <v>4</v>
      </c>
      <c r="B8" s="5" t="s">
        <v>146</v>
      </c>
      <c r="C8" s="5" t="s">
        <v>151</v>
      </c>
      <c r="D8" s="4" t="s">
        <v>52</v>
      </c>
      <c r="E8" s="4" t="str">
        <f aca="false">IF(D8="","Not Run",IFERROR(INDEX('Test Cases'!$K:$K,MATCH(D8,'Test Cases'!$A:$A,0)),"Not Run"))</f>
        <v>Pass</v>
      </c>
      <c r="F8" s="5"/>
    </row>
    <row r="9" customFormat="false" ht="15" hidden="false" customHeight="false" outlineLevel="0" collapsed="false">
      <c r="A9" s="4" t="n">
        <v>5</v>
      </c>
      <c r="B9" s="5" t="s">
        <v>146</v>
      </c>
      <c r="C9" s="5" t="s">
        <v>152</v>
      </c>
      <c r="D9" s="4" t="s">
        <v>36</v>
      </c>
      <c r="E9" s="4" t="str">
        <f aca="false">IF(D9="","Not Run",IFERROR(INDEX('Test Cases'!$K:$K,MATCH(D9,'Test Cases'!$A:$A,0)),"Not Run"))</f>
        <v>Pass</v>
      </c>
      <c r="F9" s="5" t="s">
        <v>153</v>
      </c>
    </row>
    <row r="10" customFormat="false" ht="15" hidden="false" customHeight="false" outlineLevel="0" collapsed="false">
      <c r="A10" s="4" t="n">
        <v>6</v>
      </c>
      <c r="B10" s="5" t="s">
        <v>146</v>
      </c>
      <c r="C10" s="5" t="s">
        <v>154</v>
      </c>
      <c r="D10" s="4" t="s">
        <v>94</v>
      </c>
      <c r="E10" s="4" t="str">
        <f aca="false">IF(D10="","Not Run",IFERROR(INDEX('Test Cases'!$K:$K,MATCH(D10,'Test Cases'!$A:$A,0)),"Not Run"))</f>
        <v>Pass</v>
      </c>
      <c r="F10" s="5"/>
    </row>
    <row r="11" customFormat="false" ht="15" hidden="false" customHeight="false" outlineLevel="0" collapsed="false">
      <c r="A11" s="4" t="n">
        <v>7</v>
      </c>
      <c r="B11" s="5" t="s">
        <v>155</v>
      </c>
      <c r="C11" s="5" t="s">
        <v>156</v>
      </c>
      <c r="D11" s="4" t="s">
        <v>59</v>
      </c>
      <c r="E11" s="4" t="str">
        <f aca="false">IF(D11="","Not Run",IFERROR(INDEX('Test Cases'!$K:$K,MATCH(D11,'Test Cases'!$A:$A,0)),"Not Run"))</f>
        <v>Pass</v>
      </c>
      <c r="F11" s="5"/>
    </row>
    <row r="12" customFormat="false" ht="15" hidden="false" customHeight="false" outlineLevel="0" collapsed="false">
      <c r="A12" s="4" t="n">
        <v>8</v>
      </c>
      <c r="B12" s="5" t="s">
        <v>155</v>
      </c>
      <c r="C12" s="5" t="s">
        <v>157</v>
      </c>
      <c r="D12" s="4" t="s">
        <v>68</v>
      </c>
      <c r="E12" s="4" t="str">
        <f aca="false">IF(D12="","Not Run",IFERROR(INDEX('Test Cases'!$K:$K,MATCH(D12,'Test Cases'!$A:$A,0)),"Not Run"))</f>
        <v>Pass</v>
      </c>
      <c r="F12" s="5"/>
    </row>
    <row r="13" customFormat="false" ht="15" hidden="false" customHeight="false" outlineLevel="0" collapsed="false">
      <c r="A13" s="4" t="n">
        <v>9</v>
      </c>
      <c r="B13" s="5" t="s">
        <v>155</v>
      </c>
      <c r="C13" s="5" t="s">
        <v>158</v>
      </c>
      <c r="D13" s="4" t="s">
        <v>76</v>
      </c>
      <c r="E13" s="4" t="str">
        <f aca="false">IF(D13="","Not Run",IFERROR(INDEX('Test Cases'!$K:$K,MATCH(D13,'Test Cases'!$A:$A,0)),"Not Run"))</f>
        <v>Pass</v>
      </c>
      <c r="F13" s="5"/>
    </row>
    <row r="14" customFormat="false" ht="15" hidden="false" customHeight="false" outlineLevel="0" collapsed="false">
      <c r="A14" s="4" t="n">
        <v>10</v>
      </c>
      <c r="B14" s="5" t="s">
        <v>159</v>
      </c>
      <c r="C14" s="5" t="s">
        <v>160</v>
      </c>
      <c r="D14" s="4" t="s">
        <v>102</v>
      </c>
      <c r="E14" s="4" t="str">
        <f aca="false">IF(D14="","Not Run",IFERROR(INDEX('Test Cases'!$K:$K,MATCH(D14,'Test Cases'!$A:$A,0)),"Not Run"))</f>
        <v>Pass</v>
      </c>
      <c r="F14" s="5"/>
    </row>
    <row r="15" customFormat="false" ht="15" hidden="false" customHeight="false" outlineLevel="0" collapsed="false">
      <c r="A15" s="4" t="n">
        <v>11</v>
      </c>
      <c r="B15" s="5" t="s">
        <v>159</v>
      </c>
      <c r="C15" s="5" t="s">
        <v>161</v>
      </c>
      <c r="D15" s="4" t="s">
        <v>110</v>
      </c>
      <c r="E15" s="4" t="str">
        <f aca="false">IF(D15="","Not Run",IFERROR(INDEX('Test Cases'!$K:$K,MATCH(D15,'Test Cases'!$A:$A,0)),"Not Run"))</f>
        <v>Pass</v>
      </c>
      <c r="F15" s="5"/>
    </row>
    <row r="16" customFormat="false" ht="15" hidden="false" customHeight="false" outlineLevel="0" collapsed="false">
      <c r="A16" s="4" t="n">
        <v>12</v>
      </c>
      <c r="B16" s="5" t="s">
        <v>159</v>
      </c>
      <c r="C16" s="5" t="s">
        <v>162</v>
      </c>
      <c r="D16" s="4" t="s">
        <v>117</v>
      </c>
      <c r="E16" s="4" t="str">
        <f aca="false">IF(D16="","Not Run",IFERROR(INDEX('Test Cases'!$K:$K,MATCH(D16,'Test Cases'!$A:$A,0)),"Not Run"))</f>
        <v>Pass</v>
      </c>
      <c r="F16" s="5"/>
    </row>
    <row r="17" customFormat="false" ht="15" hidden="false" customHeight="false" outlineLevel="0" collapsed="false">
      <c r="A17" s="4" t="n">
        <v>13</v>
      </c>
      <c r="B17" s="5" t="s">
        <v>159</v>
      </c>
      <c r="C17" s="5" t="s">
        <v>163</v>
      </c>
      <c r="D17" s="4" t="s">
        <v>123</v>
      </c>
      <c r="E17" s="4" t="str">
        <f aca="false">IF(D17="","Not Run",IFERROR(INDEX('Test Cases'!$K:$K,MATCH(D17,'Test Cases'!$A:$A,0)),"Not Run"))</f>
        <v>Fail</v>
      </c>
      <c r="F17" s="5" t="s">
        <v>164</v>
      </c>
    </row>
    <row r="18" customFormat="false" ht="15" hidden="false" customHeight="false" outlineLevel="0" collapsed="false">
      <c r="A18" s="4" t="n">
        <v>14</v>
      </c>
      <c r="B18" s="5" t="s">
        <v>165</v>
      </c>
      <c r="C18" s="5" t="s">
        <v>166</v>
      </c>
      <c r="D18" s="4" t="s">
        <v>85</v>
      </c>
      <c r="E18" s="4" t="str">
        <f aca="false">IF(D18="","Not Run",IFERROR(INDEX('Test Cases'!$K:$K,MATCH(D18,'Test Cases'!$A:$A,0)),"Not Run"))</f>
        <v>Pass</v>
      </c>
      <c r="F18" s="5"/>
    </row>
    <row r="19" customFormat="false" ht="15" hidden="false" customHeight="false" outlineLevel="0" collapsed="false">
      <c r="A19" s="4" t="n">
        <v>15</v>
      </c>
      <c r="B19" s="5" t="s">
        <v>165</v>
      </c>
      <c r="C19" s="5" t="s">
        <v>167</v>
      </c>
      <c r="D19" s="4" t="s">
        <v>129</v>
      </c>
      <c r="E19" s="4" t="str">
        <f aca="false">IF(D19="","Not Run",IFERROR(INDEX('Test Cases'!$K:$K,MATCH(D19,'Test Cases'!$A:$A,0)),"Not Run"))</f>
        <v>Fail</v>
      </c>
      <c r="F19" s="5" t="s">
        <v>168</v>
      </c>
    </row>
    <row r="20" customFormat="false" ht="23.85" hidden="false" customHeight="false" outlineLevel="0" collapsed="false">
      <c r="A20" s="4" t="n">
        <v>16</v>
      </c>
      <c r="B20" s="5" t="s">
        <v>169</v>
      </c>
      <c r="C20" s="5" t="s">
        <v>170</v>
      </c>
      <c r="D20" s="4"/>
      <c r="E20" s="4" t="str">
        <f aca="false">IF(D20="","Not Run",IFERROR(INDEX('Test Cases'!$K:$K,MATCH(D20,'Test Cases'!$A:$A,0)),"Not Run"))</f>
        <v>Not Run</v>
      </c>
      <c r="F20" s="5" t="s">
        <v>171</v>
      </c>
    </row>
    <row r="21" customFormat="false" ht="15" hidden="false" customHeight="false" outlineLevel="0" collapsed="false">
      <c r="A21" s="4" t="n">
        <v>17</v>
      </c>
      <c r="B21" s="5" t="s">
        <v>172</v>
      </c>
      <c r="C21" s="5" t="s">
        <v>173</v>
      </c>
      <c r="D21" s="4"/>
      <c r="E21" s="4" t="str">
        <f aca="false">IF(D21="","Not Run",IFERROR(INDEX('Test Cases'!$K:$K,MATCH(D21,'Test Cases'!$A:$A,0)),"Not Run"))</f>
        <v>Not Run</v>
      </c>
      <c r="F21" s="5" t="s">
        <v>174</v>
      </c>
    </row>
  </sheetData>
  <conditionalFormatting sqref="E5:E21">
    <cfRule type="cellIs" priority="2" operator="equal" aboveAverage="0" equalAverage="0" bottom="0" percent="0" rank="0" text="" dxfId="7">
      <formula>"Pass"</formula>
    </cfRule>
    <cfRule type="cellIs" priority="3" operator="equal" aboveAverage="0" equalAverage="0" bottom="0" percent="0" rank="0" text="" dxfId="8">
      <formula>"Fail"</formula>
    </cfRule>
    <cfRule type="cellIs" priority="4" operator="equal" aboveAverage="0" equalAverage="0" bottom="0" percent="0" rank="0" text="" dxfId="9">
      <formula>"Not Run"</formula>
    </cfRule>
    <cfRule type="cellIs" priority="5" operator="equal" aboveAverage="0" equalAverage="0" bottom="0" percent="0" rank="0" text="" dxfId="9">
      <formula>"Blocked"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8"/>
  </cols>
  <sheetData>
    <row r="1" customFormat="false" ht="17.35" hidden="false" customHeight="false" outlineLevel="0" collapsed="false">
      <c r="A1" s="1" t="s">
        <v>175</v>
      </c>
    </row>
    <row r="3" customFormat="false" ht="15" hidden="false" customHeight="false" outlineLevel="0" collapsed="false">
      <c r="A3" s="9" t="s">
        <v>176</v>
      </c>
      <c r="B3" s="10" t="s">
        <v>177</v>
      </c>
      <c r="C3" s="10"/>
      <c r="D3" s="10"/>
      <c r="E3" s="10"/>
      <c r="F3" s="10"/>
      <c r="G3" s="10"/>
    </row>
    <row r="4" customFormat="false" ht="15" hidden="false" customHeight="false" outlineLevel="0" collapsed="false">
      <c r="A4" s="9" t="s">
        <v>178</v>
      </c>
      <c r="B4" s="10" t="s">
        <v>179</v>
      </c>
      <c r="C4" s="10"/>
      <c r="D4" s="10"/>
      <c r="E4" s="10"/>
      <c r="F4" s="10"/>
      <c r="G4" s="10"/>
    </row>
    <row r="5" customFormat="false" ht="15" hidden="false" customHeight="false" outlineLevel="0" collapsed="false">
      <c r="A5" s="9" t="s">
        <v>180</v>
      </c>
      <c r="B5" s="10" t="s">
        <v>28</v>
      </c>
      <c r="C5" s="10"/>
      <c r="D5" s="10"/>
      <c r="E5" s="10"/>
      <c r="F5" s="10"/>
      <c r="G5" s="10"/>
    </row>
    <row r="6" customFormat="false" ht="15" hidden="false" customHeight="false" outlineLevel="0" collapsed="false">
      <c r="A6" s="9" t="s">
        <v>181</v>
      </c>
      <c r="B6" s="10" t="s">
        <v>182</v>
      </c>
      <c r="C6" s="10"/>
      <c r="D6" s="10"/>
      <c r="E6" s="10"/>
      <c r="F6" s="10"/>
      <c r="G6" s="10"/>
    </row>
    <row r="7" customFormat="false" ht="15" hidden="false" customHeight="false" outlineLevel="0" collapsed="false">
      <c r="A7" s="9" t="s">
        <v>183</v>
      </c>
      <c r="B7" s="10" t="s">
        <v>184</v>
      </c>
      <c r="C7" s="10"/>
      <c r="D7" s="10"/>
      <c r="E7" s="10"/>
      <c r="F7" s="10"/>
      <c r="G7" s="10"/>
    </row>
    <row r="9" customFormat="false" ht="15" hidden="false" customHeight="false" outlineLevel="0" collapsed="false">
      <c r="A9" s="11" t="s">
        <v>185</v>
      </c>
    </row>
    <row r="10" customFormat="false" ht="15" hidden="false" customHeight="false" outlineLevel="0" collapsed="false">
      <c r="A10" s="3" t="s">
        <v>186</v>
      </c>
      <c r="B10" s="3" t="s">
        <v>187</v>
      </c>
      <c r="C10" s="3" t="s">
        <v>188</v>
      </c>
    </row>
    <row r="11" customFormat="false" ht="15" hidden="false" customHeight="false" outlineLevel="0" collapsed="false">
      <c r="A11" s="12" t="s">
        <v>189</v>
      </c>
      <c r="B11" s="4" t="n">
        <f aca="false">COUNTA('Test Cases'!$A$5:$A$200)</f>
        <v>15</v>
      </c>
      <c r="C11" s="13" t="n">
        <f aca="false">IF($B$11=0,0,B11/$B$11)</f>
        <v>1</v>
      </c>
    </row>
    <row r="12" customFormat="false" ht="15" hidden="false" customHeight="false" outlineLevel="0" collapsed="false">
      <c r="A12" s="14" t="s">
        <v>26</v>
      </c>
      <c r="B12" s="4" t="n">
        <f aca="false">COUNTIF('Test Cases'!$K$5:$K$200,"Pass")</f>
        <v>13</v>
      </c>
      <c r="C12" s="13" t="n">
        <f aca="false">IF($B$11=0,0,B12/$B$11)</f>
        <v>0.866666666666667</v>
      </c>
    </row>
    <row r="13" customFormat="false" ht="15" hidden="false" customHeight="false" outlineLevel="0" collapsed="false">
      <c r="A13" s="15" t="s">
        <v>127</v>
      </c>
      <c r="B13" s="4" t="n">
        <f aca="false">COUNTIF('Test Cases'!$K$5:$K$200,"Fail")</f>
        <v>2</v>
      </c>
      <c r="C13" s="13" t="n">
        <f aca="false">IF($B$11=0,0,B13/$B$11)</f>
        <v>0.133333333333333</v>
      </c>
    </row>
    <row r="14" customFormat="false" ht="15" hidden="false" customHeight="false" outlineLevel="0" collapsed="false">
      <c r="A14" s="12" t="s">
        <v>190</v>
      </c>
      <c r="B14" s="4" t="n">
        <f aca="false">COUNTIF('Test Cases'!$K$5:$K$200,"Blocked")</f>
        <v>0</v>
      </c>
      <c r="C14" s="13" t="n">
        <f aca="false">IF($B$11=0,0,B14/$B$11)</f>
        <v>0</v>
      </c>
    </row>
    <row r="15" customFormat="false" ht="15" hidden="false" customHeight="false" outlineLevel="0" collapsed="false">
      <c r="A15" s="12" t="s">
        <v>191</v>
      </c>
      <c r="B15" s="4" t="n">
        <f aca="false">COUNTA('Test Cases'!$A$5:$A$200)-COUNTIF('Test Cases'!$K$5:$K$200,"Pass")-COUNTIF('Test Cases'!$K$5:$K$200,"Fail")-COUNTIF('Test Cases'!$K$5:$K$200,"Blocked")</f>
        <v>0</v>
      </c>
      <c r="C15" s="13" t="n">
        <f aca="false">IF($B$11=0,0,B15/$B$11)</f>
        <v>0</v>
      </c>
    </row>
    <row r="16" customFormat="false" ht="15" hidden="false" customHeight="false" outlineLevel="0" collapsed="false">
      <c r="A16" s="12" t="s">
        <v>192</v>
      </c>
      <c r="B16" s="4" t="n">
        <f aca="false">B12+B13</f>
        <v>15</v>
      </c>
      <c r="C16" s="13" t="n">
        <f aca="false">IF($B$11=0,0,B16/$B$11)</f>
        <v>1</v>
      </c>
    </row>
    <row r="17" customFormat="false" ht="15" hidden="false" customHeight="false" outlineLevel="0" collapsed="false">
      <c r="A17" s="12" t="s">
        <v>193</v>
      </c>
      <c r="B17" s="4" t="n">
        <f aca="false">COUNTIF('Test Cases'!$L$5:$L$200,"AI*")</f>
        <v>10</v>
      </c>
      <c r="C17" s="13" t="n">
        <f aca="false">IF($B$11=0,0,B17/$B$11)</f>
        <v>0.666666666666667</v>
      </c>
    </row>
    <row r="18" customFormat="false" ht="15" hidden="false" customHeight="false" outlineLevel="0" collapsed="false">
      <c r="A18" s="12" t="s">
        <v>194</v>
      </c>
      <c r="B18" s="4" t="n">
        <f aca="false">COUNTIF('Test Cases'!$L$5:$L$200,"Tự viết*")</f>
        <v>5</v>
      </c>
      <c r="C18" s="13" t="n">
        <f aca="false">IF($B$11=0,0,B18/$B$11)</f>
        <v>0.333333333333333</v>
      </c>
    </row>
    <row r="19" customFormat="false" ht="15" hidden="false" customHeight="false" outlineLevel="0" collapsed="false">
      <c r="A19" s="12" t="s">
        <v>195</v>
      </c>
      <c r="B19" s="4" t="n">
        <f aca="false">COUNTA('Test Cases'!$N$5:$N$200)</f>
        <v>5</v>
      </c>
      <c r="C19" s="13" t="n">
        <f aca="false">IF($B$11=0,0,B19/$B$11)</f>
        <v>0.333333333333333</v>
      </c>
    </row>
    <row r="20" customFormat="false" ht="15" hidden="false" customHeight="false" outlineLevel="0" collapsed="false">
      <c r="A20" s="16" t="s">
        <v>196</v>
      </c>
      <c r="B20" s="17" t="n">
        <f aca="false">IF(B16=0,0,B12/B16)</f>
        <v>0.866666666666667</v>
      </c>
    </row>
    <row r="22" customFormat="false" ht="15" hidden="false" customHeight="false" outlineLevel="0" collapsed="false">
      <c r="A22" s="11" t="s">
        <v>197</v>
      </c>
    </row>
    <row r="23" customFormat="false" ht="15" hidden="false" customHeight="false" outlineLevel="0" collapsed="false">
      <c r="A23" s="3" t="s">
        <v>6</v>
      </c>
      <c r="B23" s="3" t="s">
        <v>198</v>
      </c>
      <c r="C23" s="3" t="s">
        <v>26</v>
      </c>
      <c r="D23" s="3" t="s">
        <v>127</v>
      </c>
    </row>
    <row r="24" customFormat="false" ht="15" hidden="false" customHeight="false" outlineLevel="0" collapsed="false">
      <c r="A24" s="12" t="s">
        <v>199</v>
      </c>
      <c r="B24" s="4" t="n">
        <f aca="false">COUNTIF('Test Cases'!$E$5:$E$200,"*F1*")</f>
        <v>11</v>
      </c>
      <c r="C24" s="4" t="n">
        <f aca="false">COUNTIFS('Test Cases'!$E$5:$E$200,"*F1*",'Test Cases'!$K$5:$K$200,"Pass")</f>
        <v>10</v>
      </c>
      <c r="D24" s="4" t="n">
        <f aca="false">COUNTIFS('Test Cases'!$E$5:$E$200,"*F1*",'Test Cases'!$K$5:$K$200,"Fail")</f>
        <v>1</v>
      </c>
    </row>
    <row r="25" customFormat="false" ht="15" hidden="false" customHeight="false" outlineLevel="0" collapsed="false">
      <c r="A25" s="12" t="s">
        <v>200</v>
      </c>
      <c r="B25" s="4" t="n">
        <f aca="false">COUNTIF('Test Cases'!$E$5:$E$200,"*F2*")</f>
        <v>2</v>
      </c>
      <c r="C25" s="4" t="n">
        <f aca="false">COUNTIFS('Test Cases'!$E$5:$E$200,"*F2*",'Test Cases'!$K$5:$K$200,"Pass")</f>
        <v>2</v>
      </c>
      <c r="D25" s="4" t="n">
        <f aca="false">COUNTIFS('Test Cases'!$E$5:$E$200,"*F2*",'Test Cases'!$K$5:$K$200,"Fail")</f>
        <v>0</v>
      </c>
    </row>
    <row r="26" customFormat="false" ht="15" hidden="false" customHeight="false" outlineLevel="0" collapsed="false">
      <c r="A26" s="12" t="s">
        <v>201</v>
      </c>
      <c r="B26" s="4" t="n">
        <f aca="false">COUNTIF('Test Cases'!$E$5:$E$200,"*F3*")</f>
        <v>1</v>
      </c>
      <c r="C26" s="4" t="n">
        <f aca="false">COUNTIFS('Test Cases'!$E$5:$E$200,"*F3*",'Test Cases'!$K$5:$K$200,"Pass")</f>
        <v>1</v>
      </c>
      <c r="D26" s="4" t="n">
        <f aca="false">COUNTIFS('Test Cases'!$E$5:$E$200,"*F3*",'Test Cases'!$K$5:$K$200,"Fail")</f>
        <v>0</v>
      </c>
    </row>
    <row r="27" customFormat="false" ht="15" hidden="false" customHeight="false" outlineLevel="0" collapsed="false">
      <c r="A27" s="12" t="s">
        <v>202</v>
      </c>
      <c r="B27" s="4" t="n">
        <f aca="false">COUNTIF('Test Cases'!$E$5:$E$200,"*F4*")</f>
        <v>2</v>
      </c>
      <c r="C27" s="4" t="n">
        <f aca="false">COUNTIFS('Test Cases'!$E$5:$E$200,"*F4*",'Test Cases'!$K$5:$K$200,"Pass")</f>
        <v>1</v>
      </c>
      <c r="D27" s="4" t="n">
        <f aca="false">COUNTIFS('Test Cases'!$E$5:$E$200,"*F4*",'Test Cases'!$K$5:$K$200,"Fail")</f>
        <v>1</v>
      </c>
    </row>
    <row r="29" customFormat="false" ht="15" hidden="false" customHeight="false" outlineLevel="0" collapsed="false">
      <c r="A29" s="11" t="s">
        <v>203</v>
      </c>
    </row>
    <row r="30" customFormat="false" ht="15" hidden="false" customHeight="false" outlineLevel="0" collapsed="false">
      <c r="A30" s="3" t="s">
        <v>204</v>
      </c>
      <c r="B30" s="3" t="s">
        <v>205</v>
      </c>
      <c r="C30" s="3" t="s">
        <v>206</v>
      </c>
      <c r="D30" s="3" t="s">
        <v>207</v>
      </c>
      <c r="E30" s="3" t="s">
        <v>208</v>
      </c>
      <c r="F30" s="3" t="s">
        <v>144</v>
      </c>
      <c r="G30" s="3" t="s">
        <v>209</v>
      </c>
    </row>
    <row r="31" customFormat="false" ht="45" hidden="false" customHeight="true" outlineLevel="0" collapsed="false">
      <c r="A31" s="5" t="s">
        <v>164</v>
      </c>
      <c r="B31" s="5" t="s">
        <v>123</v>
      </c>
      <c r="C31" s="5" t="s">
        <v>210</v>
      </c>
      <c r="D31" s="5" t="s">
        <v>211</v>
      </c>
      <c r="E31" s="5" t="s">
        <v>211</v>
      </c>
      <c r="F31" s="5" t="s">
        <v>212</v>
      </c>
      <c r="G31" s="5" t="s">
        <v>213</v>
      </c>
    </row>
    <row r="32" customFormat="false" ht="45" hidden="false" customHeight="true" outlineLevel="0" collapsed="false">
      <c r="A32" s="5" t="s">
        <v>168</v>
      </c>
      <c r="B32" s="5" t="s">
        <v>129</v>
      </c>
      <c r="C32" s="5" t="s">
        <v>214</v>
      </c>
      <c r="D32" s="5" t="s">
        <v>211</v>
      </c>
      <c r="E32" s="5" t="s">
        <v>211</v>
      </c>
      <c r="F32" s="5" t="s">
        <v>212</v>
      </c>
      <c r="G32" s="5" t="s">
        <v>213</v>
      </c>
    </row>
    <row r="33" customFormat="false" ht="15" hidden="false" customHeight="false" outlineLevel="0" collapsed="false">
      <c r="A33" s="9" t="s">
        <v>215</v>
      </c>
      <c r="B33" s="9" t="n">
        <f aca="false">COUNTA(A31:A32)</f>
        <v>2</v>
      </c>
      <c r="C33" s="18" t="s">
        <v>216</v>
      </c>
      <c r="D33" s="9" t="str">
        <f aca="false">IF(B33=B13,"Khớp","Kiểm tra lại")</f>
        <v>Khớp</v>
      </c>
    </row>
    <row r="35" customFormat="false" ht="15" hidden="false" customHeight="false" outlineLevel="0" collapsed="false">
      <c r="A35" s="11" t="s">
        <v>217</v>
      </c>
    </row>
    <row r="36" customFormat="false" ht="75" hidden="false" customHeight="true" outlineLevel="0" collapsed="false">
      <c r="A36" s="19" t="s">
        <v>218</v>
      </c>
      <c r="B36" s="19"/>
      <c r="C36" s="19"/>
      <c r="D36" s="19"/>
      <c r="E36" s="19"/>
      <c r="F36" s="19"/>
      <c r="G36" s="19"/>
    </row>
    <row r="38" customFormat="false" ht="15" hidden="false" customHeight="false" outlineLevel="0" collapsed="false">
      <c r="A38" s="11" t="s">
        <v>219</v>
      </c>
    </row>
    <row r="39" customFormat="false" ht="15" hidden="false" customHeight="false" outlineLevel="0" collapsed="false">
      <c r="A39" s="3" t="s">
        <v>220</v>
      </c>
      <c r="B39" s="3" t="s">
        <v>221</v>
      </c>
      <c r="C39" s="3" t="s">
        <v>222</v>
      </c>
      <c r="D39" s="3" t="s">
        <v>198</v>
      </c>
      <c r="E39" s="3" t="s">
        <v>26</v>
      </c>
      <c r="F39" s="3" t="s">
        <v>127</v>
      </c>
    </row>
    <row r="40" customFormat="false" ht="35.05" hidden="false" customHeight="false" outlineLevel="0" collapsed="false">
      <c r="A40" s="4" t="s">
        <v>17</v>
      </c>
      <c r="B40" s="4" t="s">
        <v>223</v>
      </c>
      <c r="C40" s="5" t="s">
        <v>224</v>
      </c>
      <c r="D40" s="4" t="n">
        <f aca="false">COUNTIF('Test Cases'!$B$5:$B$200,A40)</f>
        <v>15</v>
      </c>
      <c r="E40" s="4" t="n">
        <f aca="false">COUNTIFS('Test Cases'!$B$5:$B$200,A40,'Test Cases'!$K$5:$K$200,"Pass")</f>
        <v>13</v>
      </c>
      <c r="F40" s="4" t="n">
        <f aca="false">COUNTIFS('Test Cases'!$B$5:$B$200,A40,'Test Cases'!$K$5:$K$200,"Fail")</f>
        <v>2</v>
      </c>
    </row>
    <row r="41" customFormat="false" ht="15" hidden="false" customHeight="false" outlineLevel="0" collapsed="false">
      <c r="A41" s="2" t="s">
        <v>225</v>
      </c>
    </row>
  </sheetData>
  <mergeCells count="6">
    <mergeCell ref="B3:G3"/>
    <mergeCell ref="B4:G4"/>
    <mergeCell ref="B5:G5"/>
    <mergeCell ref="B6:G6"/>
    <mergeCell ref="B7:G7"/>
    <mergeCell ref="A36:G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2026-09-30T03:59:09Z</dcterms:created>
  <dc:creator>openpyxl</dc:creator>
  <dc:description/>
  <dc:language>en-US</dc:language>
  <cp:lastModifiedBy/>
  <dcterms:modified xsi:type="dcterms:W3CDTF">2026-09-30T03:59:09Z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